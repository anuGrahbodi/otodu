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Logbook Harian" sheetId="2" state="visible" r:id="rId2"/>
  </sheets>
  <definedNames>
    <definedName name="_xlnm._FilterDatabase" localSheetId="1" hidden="1">'Logbook Harian'!$A$5:$G$35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555555"/>
      <sz val="10"/>
    </font>
    <font>
      <name val="Segoe UI"/>
      <b val="1"/>
      <color rgb="001B365D"/>
      <sz val="20"/>
    </font>
    <font>
      <name val="Segoe U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6FA"/>
        <bgColor rgb="00F2F6FA"/>
      </patternFill>
    </fill>
    <fill>
      <patternFill patternType="solid">
        <fgColor rgb="00D9E2EC"/>
        <bgColor rgb="00D9E2E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Kegiatan per Mata Kuliah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'Ringkasan'!$A$10:$A$16</f>
            </numRef>
          </cat>
          <val>
            <numRef>
              <f>'Ringkasan'!$B$10:$B$16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Mata Kuliah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Aktivitas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" customWidth="1" min="3" max="3"/>
    <col width="15" customWidth="1" min="4" max="4"/>
    <col width="18" customWidth="1" min="5" max="5"/>
  </cols>
  <sheetData>
    <row r="2">
      <c r="A2" s="1" t="inlineStr">
        <is>
          <t>DASHBOARD ANALISIS KORELASI AKADEMIK</t>
        </is>
      </c>
    </row>
    <row r="3">
      <c r="A3" s="2" t="inlineStr">
        <is>
          <t>Ringkasan Distribusi Kegiatan terhadap Mata Kuliah dan Capaian Pembelajaran</t>
        </is>
      </c>
    </row>
    <row r="5">
      <c r="A5" s="3" t="inlineStr">
        <is>
          <t>Total Aktivitas</t>
        </is>
      </c>
    </row>
    <row r="6">
      <c r="A6" s="4">
        <f>COUNTA('Logbook Harian'!A6:A35)</f>
        <v/>
      </c>
    </row>
    <row r="9">
      <c r="A9" s="5" t="inlineStr">
        <is>
          <t>Mata Kuliah</t>
        </is>
      </c>
      <c r="B9" s="5" t="inlineStr">
        <is>
          <t>Jumlah Kegiatan</t>
        </is>
      </c>
      <c r="D9" s="5" t="inlineStr">
        <is>
          <t>Kode CPL</t>
        </is>
      </c>
      <c r="E9" s="5" t="inlineStr">
        <is>
          <t>Jumlah Kegiatan</t>
        </is>
      </c>
    </row>
    <row r="10">
      <c r="A10" s="6" t="inlineStr">
        <is>
          <t>ILK3203 Pembelajaran Mesin</t>
        </is>
      </c>
      <c r="B10" s="7">
        <f>COUNTIF('Logbook Harian'!D6:D35, "ILK3203 Pembelajaran Mesin")</f>
        <v/>
      </c>
      <c r="D10" s="7" t="inlineStr">
        <is>
          <t>CPL07</t>
        </is>
      </c>
      <c r="E10" s="7">
        <f>COUNTIF('Logbook Harian'!E6:E35, "CPL07")</f>
        <v/>
      </c>
    </row>
    <row r="11">
      <c r="A11" s="6" t="inlineStr">
        <is>
          <t>ILK3204 Praktikum Pembelajaran Mesin</t>
        </is>
      </c>
      <c r="B11" s="7">
        <f>COUNTIF('Logbook Harian'!D6:D35, "ILK3204 Praktikum Pembelajaran Mesin")</f>
        <v/>
      </c>
      <c r="D11" s="7" t="inlineStr">
        <is>
          <t>CPL08</t>
        </is>
      </c>
      <c r="E11" s="7">
        <f>COUNTIF('Logbook Harian'!E6:E35, "CPL08")</f>
        <v/>
      </c>
    </row>
    <row r="12">
      <c r="A12" s="6" t="inlineStr">
        <is>
          <t>ILK3205 Big Data</t>
        </is>
      </c>
      <c r="B12" s="7">
        <f>COUNTIF('Logbook Harian'!D6:D35, "ILK3205 Big Data")</f>
        <v/>
      </c>
      <c r="D12" s="7" t="inlineStr">
        <is>
          <t>CPL09</t>
        </is>
      </c>
      <c r="E12" s="7">
        <f>COUNTIF('Logbook Harian'!E6:E35, "CPL09")</f>
        <v/>
      </c>
    </row>
    <row r="13">
      <c r="A13" s="6" t="inlineStr">
        <is>
          <t>ILK3206 Internet Of Things</t>
        </is>
      </c>
      <c r="B13" s="7">
        <f>COUNTIF('Logbook Harian'!D6:D35, "ILK3206 Internet Of Things")</f>
        <v/>
      </c>
      <c r="D13" s="7" t="inlineStr">
        <is>
          <t>CPL10</t>
        </is>
      </c>
      <c r="E13" s="7">
        <f>COUNTIF('Logbook Harian'!E6:E35, "CPL10")</f>
        <v/>
      </c>
    </row>
    <row r="14">
      <c r="A14" s="6" t="inlineStr">
        <is>
          <t>ILK3207 Pengolahan Citra Digital</t>
        </is>
      </c>
      <c r="B14" s="7">
        <f>COUNTIF('Logbook Harian'!D6:D35, "ILK3207 Pengolahan Citra Digital")</f>
        <v/>
      </c>
      <c r="D14" s="7" t="inlineStr">
        <is>
          <t>CPL11</t>
        </is>
      </c>
      <c r="E14" s="7">
        <f>COUNTIF('Logbook Harian'!E6:E35, "CPL11")</f>
        <v/>
      </c>
    </row>
    <row r="15">
      <c r="A15" s="6" t="inlineStr">
        <is>
          <t>ILK3208 Praktikum Pengolahan Citra Digital</t>
        </is>
      </c>
      <c r="B15" s="7">
        <f>COUNTIF('Logbook Harian'!D6:D35, "ILK3208 Praktikum Pengolahan Citra Digital")</f>
        <v/>
      </c>
      <c r="D15" s="8" t="inlineStr">
        <is>
          <t>Total</t>
        </is>
      </c>
      <c r="E15" s="8">
        <f>SUM(E10:E14)</f>
        <v/>
      </c>
    </row>
    <row r="16">
      <c r="A16" s="6" t="inlineStr">
        <is>
          <t>ILK3209 Natural Language Processing</t>
        </is>
      </c>
      <c r="B16" s="7">
        <f>COUNTIF('Logbook Harian'!D6:D35, "ILK3209 Natural Language Processing")</f>
        <v/>
      </c>
    </row>
    <row r="17">
      <c r="A17" s="9" t="inlineStr">
        <is>
          <t>Total</t>
        </is>
      </c>
      <c r="B17" s="8">
        <f>SUM(B10:B16)</f>
        <v/>
      </c>
    </row>
  </sheetData>
  <mergeCells count="4">
    <mergeCell ref="A6:B6"/>
    <mergeCell ref="A3:D3"/>
    <mergeCell ref="A2:D2"/>
    <mergeCell ref="A5:B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3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30" customWidth="1" min="4" max="4"/>
    <col width="12" customWidth="1" min="5" max="5"/>
    <col width="14" customWidth="1" min="6" max="6"/>
    <col width="50" customWidth="1" min="7" max="7"/>
  </cols>
  <sheetData>
    <row r="2">
      <c r="A2" s="1" t="inlineStr">
        <is>
          <t>LOGBOOK AKTIVITAS MAGANG MAHASISWA</t>
        </is>
      </c>
    </row>
    <row r="3">
      <c r="A3" s="2" t="inlineStr">
        <is>
          <t>Pemetaan Aktivitas Harian terhadap Capaian Pembelajaran Lulusan (CPL) dan CPMK</t>
        </is>
      </c>
    </row>
    <row r="5" ht="25" customHeight="1">
      <c r="A5" s="10" t="inlineStr">
        <is>
          <t>No</t>
        </is>
      </c>
      <c r="B5" s="10" t="inlineStr">
        <is>
          <t>Tanggal (Weekdays)</t>
        </is>
      </c>
      <c r="C5" s="10" t="inlineStr">
        <is>
          <t>Uraian Kegiatan</t>
        </is>
      </c>
      <c r="D5" s="10" t="inlineStr">
        <is>
          <t>Kode &amp; Nama MK</t>
        </is>
      </c>
      <c r="E5" s="10" t="inlineStr">
        <is>
          <t>Kode CPL</t>
        </is>
      </c>
      <c r="F5" s="10" t="inlineStr">
        <is>
          <t>Kode CPMK</t>
        </is>
      </c>
      <c r="G5" s="10" t="inlineStr">
        <is>
          <t>Alasan Mengapa Relevan</t>
        </is>
      </c>
    </row>
    <row r="6" ht="40" customHeight="1">
      <c r="A6" s="7" t="n">
        <v>1</v>
      </c>
      <c r="B6" s="11" t="inlineStr">
        <is>
          <t>25 Feb 2026 (Rabu)</t>
        </is>
      </c>
      <c r="C6" s="12" t="inlineStr">
        <is>
          <t>Inisasi wa-bot berbasis auto-click dan colab dengan pembuatan link chat wa terpersonalisasi.</t>
        </is>
      </c>
      <c r="D6" s="12" t="inlineStr">
        <is>
          <t>ILK3203 Pembelajaran Mesin</t>
        </is>
      </c>
      <c r="E6" s="7" t="inlineStr">
        <is>
          <t>CPL08</t>
        </is>
      </c>
      <c r="F6" s="7" t="inlineStr">
        <is>
          <t>CPMK0802</t>
        </is>
      </c>
      <c r="G6" s="12" t="inlineStr">
        <is>
          <t>Menerapkan konsep simulasi otomasi AI bersyarat pada multi-platform sebagai dasar interaksi cerdas.</t>
        </is>
      </c>
    </row>
    <row r="7" ht="40" customHeight="1">
      <c r="A7" s="13" t="n">
        <v>2</v>
      </c>
      <c r="B7" s="14" t="inlineStr">
        <is>
          <t>26 Feb 2026 (Kamis)</t>
        </is>
      </c>
      <c r="C7" s="15" t="inlineStr">
        <is>
          <t>Improve wa-bot berbasis UI web dan login wa via cmd.</t>
        </is>
      </c>
      <c r="D7" s="15" t="inlineStr">
        <is>
          <t>ILK3204 Praktikum Pembelajaran Mesin</t>
        </is>
      </c>
      <c r="E7" s="13" t="inlineStr">
        <is>
          <t>CPL08</t>
        </is>
      </c>
      <c r="F7" s="13" t="inlineStr">
        <is>
          <t>CPMK0802</t>
        </is>
      </c>
      <c r="G7" s="15" t="inlineStr">
        <is>
          <t>Secara praktis mensimulasikan transisi algoritma bot cerdas di backend agar beroperasi interaktif di Web.</t>
        </is>
      </c>
    </row>
    <row r="8" ht="40" customHeight="1">
      <c r="A8" s="7" t="n">
        <v>3</v>
      </c>
      <c r="B8" s="11" t="inlineStr">
        <is>
          <t>27 Feb 2026 (Jumat)</t>
        </is>
      </c>
      <c r="C8" s="12" t="inlineStr">
        <is>
          <t>Deteksi ketidaklengkapan administrasi kepesertaan magang berbasis colab.</t>
        </is>
      </c>
      <c r="D8" s="12" t="inlineStr">
        <is>
          <t>ILK3205 Big Data</t>
        </is>
      </c>
      <c r="E8" s="7" t="inlineStr">
        <is>
          <t>CPL08</t>
        </is>
      </c>
      <c r="F8" s="7" t="inlineStr">
        <is>
          <t>CPMK0801</t>
        </is>
      </c>
      <c r="G8" s="12" t="inlineStr">
        <is>
          <t>Mendesain arsitektur penyaringan anomali data (log administrasi) skala besar sesuai kebutuhan instansi.</t>
        </is>
      </c>
    </row>
    <row r="9" ht="40" customHeight="1">
      <c r="A9" s="13" t="n">
        <v>4</v>
      </c>
      <c r="B9" s="14" t="inlineStr">
        <is>
          <t>2 Mar 2026 (Senin)</t>
        </is>
      </c>
      <c r="C9" s="15" t="inlineStr">
        <is>
          <t>Koordinasi mentor terkait alur log data administrasi magang.</t>
        </is>
      </c>
      <c r="D9" s="15" t="inlineStr">
        <is>
          <t>ILK3205 Big Data</t>
        </is>
      </c>
      <c r="E9" s="13" t="inlineStr">
        <is>
          <t>CPL07</t>
        </is>
      </c>
      <c r="F9" s="13" t="inlineStr">
        <is>
          <t>CPMK0702</t>
        </is>
      </c>
      <c r="G9" s="15" t="inlineStr">
        <is>
          <t>Menganalisa penyelesaian pemrosesan log data dengan mempertimbangkan wawasan manajerial transdisiplin.</t>
        </is>
      </c>
    </row>
    <row r="10" ht="40" customHeight="1">
      <c r="A10" s="7" t="n">
        <v>5</v>
      </c>
      <c r="B10" s="11" t="inlineStr">
        <is>
          <t>4 Mar 2026 (Rabu)</t>
        </is>
      </c>
      <c r="C10" s="12" t="inlineStr">
        <is>
          <t>Mengatur penempatan peserta magang dgn Gmaps API, penentuan mean, median, modus jarak.</t>
        </is>
      </c>
      <c r="D10" s="12" t="inlineStr">
        <is>
          <t>ILK3203 Pembelajaran Mesin</t>
        </is>
      </c>
      <c r="E10" s="7" t="inlineStr">
        <is>
          <t>CPL09</t>
        </is>
      </c>
      <c r="F10" s="7" t="inlineStr">
        <is>
          <t>CPMK0901</t>
        </is>
      </c>
      <c r="G10" s="12" t="inlineStr">
        <is>
          <t>Menganalisis dan mendesain kebutuhan model prediktif spasial berbasis perhitungan metrik statistik.</t>
        </is>
      </c>
    </row>
    <row r="11" ht="40" customHeight="1">
      <c r="A11" s="13" t="n">
        <v>6</v>
      </c>
      <c r="B11" s="14" t="inlineStr">
        <is>
          <t>6 Mar 2026 (Jumat)</t>
        </is>
      </c>
      <c r="C11" s="15" t="inlineStr">
        <is>
          <t>Finalisasi skrip penempatan jarak peserta magang di Google Colab.</t>
        </is>
      </c>
      <c r="D11" s="15" t="inlineStr">
        <is>
          <t>ILK3204 Praktikum Pembelajaran Mesin</t>
        </is>
      </c>
      <c r="E11" s="13" t="inlineStr">
        <is>
          <t>CPL09</t>
        </is>
      </c>
      <c r="F11" s="13" t="inlineStr">
        <is>
          <t>CPMK0901</t>
        </is>
      </c>
      <c r="G11" s="15" t="inlineStr">
        <is>
          <t>Eksekusi penyusunan algoritma komputasi cerdas secara praktis selaras dengan kebutuhan analitik ruang data.</t>
        </is>
      </c>
    </row>
    <row r="12" ht="40" customHeight="1">
      <c r="A12" s="7" t="n">
        <v>7</v>
      </c>
      <c r="B12" s="11" t="inlineStr">
        <is>
          <t>10 Mar 2026 (Selasa)</t>
        </is>
      </c>
      <c r="C12" s="12" t="inlineStr">
        <is>
          <t>Inisasi web satu bpjs tk utk tools bot wa dan rekap lapangan.</t>
        </is>
      </c>
      <c r="D12" s="12" t="inlineStr">
        <is>
          <t>ILK3205 Big Data</t>
        </is>
      </c>
      <c r="E12" s="7" t="inlineStr">
        <is>
          <t>CPL08</t>
        </is>
      </c>
      <c r="F12" s="7" t="inlineStr">
        <is>
          <t>CPMK0802</t>
        </is>
      </c>
      <c r="G12" s="12" t="inlineStr">
        <is>
          <t>Mensimulasikan wadah portal terintegrasi (Big Data Management) untuk menampung seluruh log lapangan.</t>
        </is>
      </c>
    </row>
    <row r="13" ht="40" customHeight="1">
      <c r="A13" s="13" t="n">
        <v>8</v>
      </c>
      <c r="B13" s="14" t="inlineStr">
        <is>
          <t>12 Mar 2026 (Kamis)</t>
        </is>
      </c>
      <c r="C13" s="15" t="inlineStr">
        <is>
          <t>Pembagian kelompok jurnal otomatis 176 orang berbasis algoritma clustering bersyarat.</t>
        </is>
      </c>
      <c r="D13" s="15" t="inlineStr">
        <is>
          <t>ILK3203 Pembelajaran Mesin</t>
        </is>
      </c>
      <c r="E13" s="13" t="inlineStr">
        <is>
          <t>CPL09</t>
        </is>
      </c>
      <c r="F13" s="13" t="inlineStr">
        <is>
          <t>CPMK0902</t>
        </is>
      </c>
      <c r="G13" s="15" t="inlineStr">
        <is>
          <t>Mengimplementasikan algoritma clustering (pengelompokan) secara sistematis untuk memecah kerumunan data.</t>
        </is>
      </c>
    </row>
    <row r="14" ht="40" customHeight="1">
      <c r="A14" s="7" t="n">
        <v>9</v>
      </c>
      <c r="B14" s="11" t="inlineStr">
        <is>
          <t>16 Mar 2026 (Senin)</t>
        </is>
      </c>
      <c r="C14" s="12" t="inlineStr">
        <is>
          <t>Mengimplementasikan algoritma clustering tersebut untuk iterasi batas maksimal fakultas.</t>
        </is>
      </c>
      <c r="D14" s="12" t="inlineStr">
        <is>
          <t>ILK3204 Praktikum Pembelajaran Mesin</t>
        </is>
      </c>
      <c r="E14" s="7" t="inlineStr">
        <is>
          <t>CPL09</t>
        </is>
      </c>
      <c r="F14" s="7" t="inlineStr">
        <is>
          <t>CPMK0902</t>
        </is>
      </c>
      <c r="G14" s="12" t="inlineStr">
        <is>
          <t>Memvalidasi kemampuan menulis skrip pemodelan clustering secara praktis dan empirik.</t>
        </is>
      </c>
    </row>
    <row r="15" ht="40" customHeight="1">
      <c r="A15" s="13" t="n">
        <v>10</v>
      </c>
      <c r="B15" s="14" t="inlineStr">
        <is>
          <t>18 Mar 2026 (Rabu)</t>
        </is>
      </c>
      <c r="C15" s="15" t="inlineStr">
        <is>
          <t>Evaluasi akurasi metrik pengenalan wajah pada algoritma absensi di kondisi minim cahaya.</t>
        </is>
      </c>
      <c r="D15" s="15" t="inlineStr">
        <is>
          <t>ILK3203 Pembelajaran Mesin</t>
        </is>
      </c>
      <c r="E15" s="13" t="inlineStr">
        <is>
          <t>CPL09</t>
        </is>
      </c>
      <c r="F15" s="13" t="inlineStr">
        <is>
          <t>CPMK0903</t>
        </is>
      </c>
      <c r="G15" s="15" t="inlineStr">
        <is>
          <t>Mengevaluasi kebutuhan tingkat akurasi (kinerja) model komputasi cerdas agar optimal dan efisien.</t>
        </is>
      </c>
    </row>
    <row r="16" ht="40" customHeight="1">
      <c r="A16" s="7" t="n">
        <v>11</v>
      </c>
      <c r="B16" s="11" t="inlineStr">
        <is>
          <t>20 Mar 2026 (Jumat)</t>
        </is>
      </c>
      <c r="C16" s="12" t="inlineStr">
        <is>
          <t>Meninjau performa rasio F1-Score, Precission, dan Recall dari data log yang dilatih.</t>
        </is>
      </c>
      <c r="D16" s="12" t="inlineStr">
        <is>
          <t>ILK3204 Praktikum Pembelajaran Mesin</t>
        </is>
      </c>
      <c r="E16" s="7" t="inlineStr">
        <is>
          <t>CPL09</t>
        </is>
      </c>
      <c r="F16" s="7" t="inlineStr">
        <is>
          <t>CPMK0903</t>
        </is>
      </c>
      <c r="G16" s="12" t="inlineStr">
        <is>
          <t>Mempraktikkan pengukuran metrik matriks (Loss &amp; Accuracy) hasil klasifikasi untuk memastikan efisiensi mesin.</t>
        </is>
      </c>
    </row>
    <row r="17" ht="40" customHeight="1">
      <c r="A17" s="13" t="n">
        <v>12</v>
      </c>
      <c r="B17" s="14" t="inlineStr">
        <is>
          <t>24 Mar 2026 (Selasa)</t>
        </is>
      </c>
      <c r="C17" s="15" t="inlineStr">
        <is>
          <t>Menambah fitur chat berjadwal bot wa dan deploy ke VPS Google Cloud.</t>
        </is>
      </c>
      <c r="D17" s="15" t="inlineStr">
        <is>
          <t>ILK3205 Big Data</t>
        </is>
      </c>
      <c r="E17" s="13" t="inlineStr">
        <is>
          <t>CPL09</t>
        </is>
      </c>
      <c r="F17" s="13" t="inlineStr">
        <is>
          <t>CPMK0901</t>
        </is>
      </c>
      <c r="G17" s="15" t="inlineStr">
        <is>
          <t>Merancang penugasan asinkron (cron-job) dalam server Cloud memenuhi perancangan komputasi terdistribusi kompleks.</t>
        </is>
      </c>
    </row>
    <row r="18" ht="40" customHeight="1">
      <c r="A18" s="7" t="n">
        <v>13</v>
      </c>
      <c r="B18" s="11" t="inlineStr">
        <is>
          <t>26 Mar 2026 (Kamis)</t>
        </is>
      </c>
      <c r="C18" s="12" t="inlineStr">
        <is>
          <t>Mengevaluasi web absensi: analisis checkout harian peserta menjadi persen mood.</t>
        </is>
      </c>
      <c r="D18" s="12" t="inlineStr">
        <is>
          <t>ILK3205 Big Data</t>
        </is>
      </c>
      <c r="E18" s="7" t="inlineStr">
        <is>
          <t>CPL09</t>
        </is>
      </c>
      <c r="F18" s="7" t="inlineStr">
        <is>
          <t>CPMK0902</t>
        </is>
      </c>
      <c r="G18" s="12" t="inlineStr">
        <is>
          <t>Mengimplementasikan ekstraksi tabel bervolume masif untuk diolah menjadi agregat ringkasan informasi harian.</t>
        </is>
      </c>
    </row>
    <row r="19" ht="40" customHeight="1">
      <c r="A19" s="13" t="n">
        <v>14</v>
      </c>
      <c r="B19" s="14" t="inlineStr">
        <is>
          <t>30 Mar 2026 (Senin)</t>
        </is>
      </c>
      <c r="C19" s="15" t="inlineStr">
        <is>
          <t>Inisiasi web absen: deteksi wajah dan lokasi berbasis face recognition local dan OSM API.</t>
        </is>
      </c>
      <c r="D19" s="15" t="inlineStr">
        <is>
          <t>ILK3207 Pengolahan Citra Digital</t>
        </is>
      </c>
      <c r="E19" s="13" t="inlineStr">
        <is>
          <t>CPL08</t>
        </is>
      </c>
      <c r="F19" s="13" t="inlineStr">
        <is>
          <t>CPMK0801</t>
        </is>
      </c>
      <c r="G19" s="15" t="inlineStr">
        <is>
          <t>Mendesain tangkapan matriks kamera langsung di antarmuka klien menggunakan rumusan Computer Vision.</t>
        </is>
      </c>
    </row>
    <row r="20" ht="40" customHeight="1">
      <c r="A20" s="7" t="n">
        <v>15</v>
      </c>
      <c r="B20" s="11" t="inlineStr">
        <is>
          <t>1 Apr 2026 (Rabu)</t>
        </is>
      </c>
      <c r="C20" s="12" t="inlineStr">
        <is>
          <t>Inisiasi algoritma olah data pdf besar (potong header, pecah pdf) berbasis Tesseract lib OCR.</t>
        </is>
      </c>
      <c r="D20" s="12" t="inlineStr">
        <is>
          <t>ILK3208 Praktikum Pengolahan Citra Digital</t>
        </is>
      </c>
      <c r="E20" s="7" t="inlineStr">
        <is>
          <t>CPL08</t>
        </is>
      </c>
      <c r="F20" s="7" t="inlineStr">
        <is>
          <t>CPMK0801</t>
        </is>
      </c>
      <c r="G20" s="12" t="inlineStr">
        <is>
          <t>Secara praktis mengekstrak piksel grafis dokumen menjadi wujud teks yang dipahami sistem komputasi.</t>
        </is>
      </c>
    </row>
    <row r="21" ht="40" customHeight="1">
      <c r="A21" s="13" t="n">
        <v>16</v>
      </c>
      <c r="B21" s="14" t="inlineStr">
        <is>
          <t>3 Apr 2026 (Jumat)</t>
        </is>
      </c>
      <c r="C21" s="15" t="inlineStr">
        <is>
          <t>Memperbaiki algoritma absensi dgn membedah DB id wajah yang diperbarui tiap check-in.</t>
        </is>
      </c>
      <c r="D21" s="15" t="inlineStr">
        <is>
          <t>ILK3207 Pengolahan Citra Digital</t>
        </is>
      </c>
      <c r="E21" s="13" t="inlineStr">
        <is>
          <t>CPL08</t>
        </is>
      </c>
      <c r="F21" s="13" t="inlineStr">
        <is>
          <t>CPMK0802</t>
        </is>
      </c>
      <c r="G21" s="15" t="inlineStr">
        <is>
          <t>Mensimulasikan pembaruan encoding pola wajah ke basis data dinamis untuk menekan misklasifikasi gambar.</t>
        </is>
      </c>
    </row>
    <row r="22" ht="40" customHeight="1">
      <c r="A22" s="7" t="n">
        <v>17</v>
      </c>
      <c r="B22" s="11" t="inlineStr">
        <is>
          <t>7 Apr 2026 (Selasa)</t>
        </is>
      </c>
      <c r="C22" s="12" t="inlineStr">
        <is>
          <t>Implementasi teknik augmentasi citra wajah pendaftar untuk memperkuat sampel set training.</t>
        </is>
      </c>
      <c r="D22" s="12" t="inlineStr">
        <is>
          <t>ILK3208 Praktikum Pengolahan Citra Digital</t>
        </is>
      </c>
      <c r="E22" s="7" t="inlineStr">
        <is>
          <t>CPL08</t>
        </is>
      </c>
      <c r="F22" s="7" t="inlineStr">
        <is>
          <t>CPMK0802</t>
        </is>
      </c>
      <c r="G22" s="12" t="inlineStr">
        <is>
          <t>Praktek memanipulasi rentang resolusi piksel (noise reduction &amp; scaling) sebagai simulasi perbaikan kualitas citra.</t>
        </is>
      </c>
    </row>
    <row r="23" ht="40" customHeight="1">
      <c r="A23" s="13" t="n">
        <v>18</v>
      </c>
      <c r="B23" s="14" t="inlineStr">
        <is>
          <t>9 Apr 2026 (Kamis)</t>
        </is>
      </c>
      <c r="C23" s="15" t="inlineStr">
        <is>
          <t>Menganalisis potongan seluruh region batas margin pada dokumen buku panduan.</t>
        </is>
      </c>
      <c r="D23" s="15" t="inlineStr">
        <is>
          <t>ILK3207 Pengolahan Citra Digital</t>
        </is>
      </c>
      <c r="E23" s="13" t="inlineStr">
        <is>
          <t>CPL09</t>
        </is>
      </c>
      <c r="F23" s="13" t="inlineStr">
        <is>
          <t>CPMK0901</t>
        </is>
      </c>
      <c r="G23" s="15" t="inlineStr">
        <is>
          <t>Memenuhi target menganalisis dan mendesain kebutuhan pembatasan pengenalan karakter visual (OCR) dengan benar.</t>
        </is>
      </c>
    </row>
    <row r="24" ht="40" customHeight="1">
      <c r="A24" s="7" t="n">
        <v>19</v>
      </c>
      <c r="B24" s="11" t="inlineStr">
        <is>
          <t>13 Apr 2026 (Senin)</t>
        </is>
      </c>
      <c r="C24" s="12" t="inlineStr">
        <is>
          <t>Mengeksekusi penarikan metrik rasio bounding box dari fungsi pembacaan wajah.</t>
        </is>
      </c>
      <c r="D24" s="12" t="inlineStr">
        <is>
          <t>ILK3208 Praktikum Pengolahan Citra Digital</t>
        </is>
      </c>
      <c r="E24" s="7" t="inlineStr">
        <is>
          <t>CPL09</t>
        </is>
      </c>
      <c r="F24" s="7" t="inlineStr">
        <is>
          <t>CPMK0901</t>
        </is>
      </c>
      <c r="G24" s="12" t="inlineStr">
        <is>
          <t>Melaksanakan penulisan skrip pemrosesan objek bingkai citra memenuhi implementasi desain computer vision.</t>
        </is>
      </c>
    </row>
    <row r="25" ht="40" customHeight="1">
      <c r="A25" s="13" t="n">
        <v>20</v>
      </c>
      <c r="B25" s="14" t="inlineStr">
        <is>
          <t>15 Apr 2026 (Rabu)</t>
        </is>
      </c>
      <c r="C25" s="15" t="inlineStr">
        <is>
          <t>Evaluasi performa sistem terhadap kegagalan tangkapan resolusi (wajib regis ulang wajah via OTP).</t>
        </is>
      </c>
      <c r="D25" s="15" t="inlineStr">
        <is>
          <t>ILK3207 Pengolahan Citra Digital</t>
        </is>
      </c>
      <c r="E25" s="13" t="inlineStr">
        <is>
          <t>CPL09</t>
        </is>
      </c>
      <c r="F25" s="13" t="inlineStr">
        <is>
          <t>CPMK0903</t>
        </is>
      </c>
      <c r="G25" s="15" t="inlineStr">
        <is>
          <t>Mengevaluasi dan memvalidasi keakuratan tangkapan visual harian agar pemrosesan arsitektur citra tetap efisien.</t>
        </is>
      </c>
    </row>
    <row r="26" ht="40" customHeight="1">
      <c r="A26" s="7" t="n">
        <v>21</v>
      </c>
      <c r="B26" s="11" t="inlineStr">
        <is>
          <t>17 Apr 2026 (Jumat)</t>
        </is>
      </c>
      <c r="C26" s="12" t="inlineStr">
        <is>
          <t>Mendeteksi margin tepi piksel gambar KTP peserta dengan metode Canny Edge.</t>
        </is>
      </c>
      <c r="D26" s="12" t="inlineStr">
        <is>
          <t>ILK3208 Praktikum Pengolahan Citra Digital</t>
        </is>
      </c>
      <c r="E26" s="7" t="inlineStr">
        <is>
          <t>CPL09</t>
        </is>
      </c>
      <c r="F26" s="7" t="inlineStr">
        <is>
          <t>CPMK0903</t>
        </is>
      </c>
      <c r="G26" s="12" t="inlineStr">
        <is>
          <t>Mengukur beban komputasi baca ruang gambar (Region of Interest) untuk mengkaji penghematan memori visual.</t>
        </is>
      </c>
    </row>
    <row r="27" ht="40" customHeight="1">
      <c r="A27" s="13" t="n">
        <v>22</v>
      </c>
      <c r="B27" s="14" t="inlineStr">
        <is>
          <t>21 Apr 2026 (Selasa)</t>
        </is>
      </c>
      <c r="C27" s="15" t="inlineStr">
        <is>
          <t>Pembuatan web llm dinachat dgn react router v7 utk menjawab pertanyaan bernada sarkasme.</t>
        </is>
      </c>
      <c r="D27" s="15" t="inlineStr">
        <is>
          <t>ILK3209 Natural Language Processing</t>
        </is>
      </c>
      <c r="E27" s="13" t="inlineStr">
        <is>
          <t>CPL08</t>
        </is>
      </c>
      <c r="F27" s="13" t="inlineStr">
        <is>
          <t>CPMK0802</t>
        </is>
      </c>
      <c r="G27" s="15" t="inlineStr">
        <is>
          <t>Mensimulasikan deteksi intensi kalimat chatbot teks mutakhir untuk memenuhi penguasaan konsep Bahasa Alami.</t>
        </is>
      </c>
    </row>
    <row r="28" ht="40" customHeight="1">
      <c r="A28" s="7" t="n">
        <v>23</v>
      </c>
      <c r="B28" s="11" t="inlineStr">
        <is>
          <t>23 Apr 2026 (Kamis)</t>
        </is>
      </c>
      <c r="C28" s="12" t="inlineStr">
        <is>
          <t>Membuat stopwords dan tokenizing otomatis log pertanyaan mahasiswa dari 1BPJSTK dengan NLP.</t>
        </is>
      </c>
      <c r="D28" s="12" t="inlineStr">
        <is>
          <t>ILK3209 Natural Language Processing</t>
        </is>
      </c>
      <c r="E28" s="7" t="inlineStr">
        <is>
          <t>CPL09</t>
        </is>
      </c>
      <c r="F28" s="7" t="inlineStr">
        <is>
          <t>CPMK0902</t>
        </is>
      </c>
      <c r="G28" s="12" t="inlineStr">
        <is>
          <t>Mengimplementasikan peringkasan dokumen berbasis penyaringan kata (tokenizing/filtering) secara sistematis.</t>
        </is>
      </c>
    </row>
    <row r="29" ht="40" customHeight="1">
      <c r="A29" s="13" t="n">
        <v>24</v>
      </c>
      <c r="B29" s="14" t="inlineStr">
        <is>
          <t>27 Apr 2026 (Senin)</t>
        </is>
      </c>
      <c r="C29" s="15" t="inlineStr">
        <is>
          <t>Mendesain antarmuka dokumentasi teks (Readme.md di Github) dan merangkum laporan file PDF fungsional program.</t>
        </is>
      </c>
      <c r="D29" s="15" t="inlineStr">
        <is>
          <t>ILK3209 Natural Language Processing</t>
        </is>
      </c>
      <c r="E29" s="13" t="inlineStr">
        <is>
          <t>CPL10</t>
        </is>
      </c>
      <c r="F29" s="13" t="inlineStr">
        <is>
          <t>CPMK1002</t>
        </is>
      </c>
      <c r="G29" s="15" t="inlineStr">
        <is>
          <t>Membuat rancangan user interface (berbasis instruksi teks interaktif/markdown) yang merepresentasikan hasil laporan komputasi.</t>
        </is>
      </c>
    </row>
    <row r="30" ht="40" customHeight="1">
      <c r="A30" s="7" t="n">
        <v>25</v>
      </c>
      <c r="B30" s="11" t="inlineStr">
        <is>
          <t>29 Apr 2026 (Rabu)</t>
        </is>
      </c>
      <c r="C30" s="12" t="inlineStr">
        <is>
          <t>Mengkaji performa latensi respons kueri pada basis data berskala besar dari aktivitas log.</t>
        </is>
      </c>
      <c r="D30" s="12" t="inlineStr">
        <is>
          <t>ILK3205 Big Data</t>
        </is>
      </c>
      <c r="E30" s="7" t="inlineStr">
        <is>
          <t>CPL09</t>
        </is>
      </c>
      <c r="F30" s="7" t="inlineStr">
        <is>
          <t>CPMK0903</t>
        </is>
      </c>
      <c r="G30" s="12" t="inlineStr">
        <is>
          <t>Mengevaluasi latensi dan efisiensi arsitektur beban komputasi masif saat penarikan data secara bersamaan.</t>
        </is>
      </c>
    </row>
    <row r="31" ht="40" customHeight="1">
      <c r="A31" s="13" t="n">
        <v>26</v>
      </c>
      <c r="B31" s="14" t="inlineStr">
        <is>
          <t>9 Jun 2026 (Selasa)</t>
        </is>
      </c>
      <c r="C31" s="15" t="inlineStr">
        <is>
          <t>Analisis komponen Hardware IoT (Arduino Uno, Servo, HC-SR04) untuk akses pintu gerbang.</t>
        </is>
      </c>
      <c r="D31" s="15" t="inlineStr">
        <is>
          <t>ILK3206 Internet Of Things</t>
        </is>
      </c>
      <c r="E31" s="13" t="inlineStr">
        <is>
          <t>CPL07</t>
        </is>
      </c>
      <c r="F31" s="13" t="inlineStr">
        <is>
          <t>CPMK0701</t>
        </is>
      </c>
      <c r="G31" s="15" t="inlineStr">
        <is>
          <t>Menganalisa perancangan sirkuit perangkat keras yang sesuai dengan spesifikasi penyelesaian komputasi fisik.</t>
        </is>
      </c>
    </row>
    <row r="32" ht="40" customHeight="1">
      <c r="A32" s="7" t="n">
        <v>27</v>
      </c>
      <c r="B32" s="11" t="inlineStr">
        <is>
          <t>10 Jun 2026 (Rabu)</t>
        </is>
      </c>
      <c r="C32" s="12" t="inlineStr">
        <is>
          <t>Mengkaji trigger sinkronisasi mikrokontroler dengan ilmu elektronika aktuator gerbang.</t>
        </is>
      </c>
      <c r="D32" s="12" t="inlineStr">
        <is>
          <t>ILK3206 Internet Of Things</t>
        </is>
      </c>
      <c r="E32" s="7" t="inlineStr">
        <is>
          <t>CPL07</t>
        </is>
      </c>
      <c r="F32" s="7" t="inlineStr">
        <is>
          <t>CPMK0702</t>
        </is>
      </c>
      <c r="G32" s="12" t="inlineStr">
        <is>
          <t>Mempertimbangkan aspek kelistrikan (transdisiplin) dengan melakukan instalasi dan pemetaan logis komponen sensor.</t>
        </is>
      </c>
    </row>
    <row r="33" ht="40" customHeight="1">
      <c r="A33" s="13" t="n">
        <v>28</v>
      </c>
      <c r="B33" s="14" t="inlineStr">
        <is>
          <t>11 Jun 2026 (Kamis)</t>
        </is>
      </c>
      <c r="C33" s="15" t="inlineStr">
        <is>
          <t>Simulasi sirkuit Breadboard &amp; desain skrip C++ untuk durasi pulsa (PWM) Servo dari 0-180 derajat.</t>
        </is>
      </c>
      <c r="D33" s="15" t="inlineStr">
        <is>
          <t>ILK3206 Internet Of Things</t>
        </is>
      </c>
      <c r="E33" s="13" t="inlineStr">
        <is>
          <t>CPL08</t>
        </is>
      </c>
      <c r="F33" s="13" t="inlineStr">
        <is>
          <t>CPMK0802</t>
        </is>
      </c>
      <c r="G33" s="15" t="inlineStr">
        <is>
          <t>Mensimulasikan instruksi logika ke dalam perangkat mikrokontroler sebagai fondasi perancangan multi-platform.</t>
        </is>
      </c>
    </row>
    <row r="34" ht="40" customHeight="1">
      <c r="A34" s="7" t="n">
        <v>29</v>
      </c>
      <c r="B34" s="11" t="inlineStr">
        <is>
          <t>12 Jun 2026 (Jumat)</t>
        </is>
      </c>
      <c r="C34" s="12" t="inlineStr">
        <is>
          <t>Mengimplementasi looping C++ &amp; Modul RFID RC522 sebagai intervensi trigger gerbang.</t>
        </is>
      </c>
      <c r="D34" s="12" t="inlineStr">
        <is>
          <t>ILK3206 Internet Of Things</t>
        </is>
      </c>
      <c r="E34" s="7" t="inlineStr">
        <is>
          <t>CPL11</t>
        </is>
      </c>
      <c r="F34" s="7" t="inlineStr">
        <is>
          <t>CPMK1101</t>
        </is>
      </c>
      <c r="G34" s="12" t="inlineStr">
        <is>
          <t>Mendesain susunan operasional komunikasi eksternal dalam memicu arsitektur jaringan berbasis perangkat keras (organisasi).</t>
        </is>
      </c>
    </row>
    <row r="35" ht="40" customHeight="1">
      <c r="A35" s="13" t="n">
        <v>30</v>
      </c>
      <c r="B35" s="14" t="inlineStr">
        <is>
          <t>15 Jun 2026 (Senin)</t>
        </is>
      </c>
      <c r="C35" s="15" t="inlineStr">
        <is>
          <t>Evaluasi batasan toleransi pantulan ultrasonik HC-SR04 dan validasi Serial Monitor sistem IoT.</t>
        </is>
      </c>
      <c r="D35" s="15" t="inlineStr">
        <is>
          <t>ILK3206 Internet Of Things</t>
        </is>
      </c>
      <c r="E35" s="13" t="inlineStr">
        <is>
          <t>CPL11</t>
        </is>
      </c>
      <c r="F35" s="13" t="inlineStr">
        <is>
          <t>CPMK1103</t>
        </is>
      </c>
      <c r="G35" s="15" t="inlineStr">
        <is>
          <t>Mengevaluasi kalibrasi gelombang akurasi pantulan sensor dan respons jaringan IoT yang dirancang agar sistem stabil dan efisien.</t>
        </is>
      </c>
    </row>
  </sheetData>
  <autoFilter ref="A5:G35"/>
  <mergeCells count="2">
    <mergeCell ref="A3:G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2026-06-29T13:39:29Z</dcterms:created>
  <dcterms:modified xmlns:dcterms="http://purl.org/dc/terms/" xmlns:xsi="http://www.w3.org/2001/XMLSchema-instance" xsi:type="dcterms:W3CDTF">2026-06-29T13:39:29Z</dcterms:modified>
</cp:coreProperties>
</file>